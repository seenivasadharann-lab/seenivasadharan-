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na\Downloads\"/>
    </mc:Choice>
  </mc:AlternateContent>
  <xr:revisionPtr revIDLastSave="0" documentId="8_{1429D596-74DB-4F82-9D7C-1FA3B8207A3C}" xr6:coauthVersionLast="47" xr6:coauthVersionMax="47" xr10:uidLastSave="{00000000-0000-0000-0000-000000000000}"/>
  <bookViews>
    <workbookView xWindow="-108" yWindow="-108" windowWidth="23256" windowHeight="12456" activeTab="4" xr2:uid="{55346D95-6FB4-48C3-BDA4-551F55EF361D}"/>
  </bookViews>
  <sheets>
    <sheet name="MID" sheetId="6" r:id="rId1"/>
    <sheet name="LEFT" sheetId="8" r:id="rId2"/>
    <sheet name="RIGHT" sheetId="10" r:id="rId3"/>
    <sheet name="Substring between parentheses" sheetId="7" r:id="rId4"/>
    <sheet name="Containing specific text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7" l="1"/>
  <c r="B5" i="7"/>
  <c r="E2" i="8"/>
  <c r="F3" i="10"/>
  <c r="F2" i="10"/>
  <c r="F1" i="10"/>
  <c r="E3" i="8"/>
  <c r="E1" i="8"/>
  <c r="F5" i="6"/>
  <c r="F4" i="6"/>
  <c r="F3" i="6"/>
  <c r="F2" i="6"/>
  <c r="F1" i="6"/>
  <c r="C1" i="4"/>
  <c r="C2" i="4" s="1"/>
  <c r="D2" i="4" s="1"/>
  <c r="B2" i="7" l="1"/>
  <c r="E4" i="8"/>
  <c r="D4" i="8"/>
  <c r="E5" i="6"/>
  <c r="E4" i="6"/>
  <c r="B6" i="6"/>
  <c r="B3" i="6"/>
  <c r="B1" i="6"/>
  <c r="C2" i="7"/>
  <c r="C3" i="7"/>
  <c r="C1" i="7"/>
  <c r="C2" i="10"/>
  <c r="C3" i="10"/>
  <c r="C1" i="10"/>
  <c r="B2" i="4"/>
  <c r="B3" i="4"/>
  <c r="B1" i="4"/>
  <c r="B1" i="7" l="1"/>
  <c r="B1" i="8" l="1"/>
  <c r="B3" i="7" l="1"/>
  <c r="B2" i="10"/>
  <c r="B3" i="10"/>
  <c r="B1" i="10"/>
  <c r="B2" i="8"/>
  <c r="B3" i="8"/>
</calcChain>
</file>

<file path=xl/sharedStrings.xml><?xml version="1.0" encoding="utf-8"?>
<sst xmlns="http://schemas.openxmlformats.org/spreadsheetml/2006/main" count="41" uniqueCount="28">
  <si>
    <t>Hello Olivia</t>
  </si>
  <si>
    <t>kloo16</t>
  </si>
  <si>
    <t>kloo king</t>
  </si>
  <si>
    <t>Hello You Okay</t>
  </si>
  <si>
    <t>seenivasan</t>
  </si>
  <si>
    <t>How are You Mickeal?</t>
  </si>
  <si>
    <t>22-09-2025, 09:04:32 PM 08-05-2026, Thursday</t>
  </si>
  <si>
    <t>ABC-12</t>
  </si>
  <si>
    <t>MSD-16</t>
  </si>
  <si>
    <t>DE-4</t>
  </si>
  <si>
    <t>IDBI;10</t>
  </si>
  <si>
    <t>FGHI-887</t>
  </si>
  <si>
    <t>DATA/19</t>
  </si>
  <si>
    <t>MSS-27</t>
  </si>
  <si>
    <t>BMW&amp;31</t>
  </si>
  <si>
    <t>KLO/16</t>
  </si>
  <si>
    <t>Bill (3788788) is a pilot</t>
  </si>
  <si>
    <t>Betsy (10004445454554545454545401) is an old lady</t>
  </si>
  <si>
    <t>Say Hi to James (9)</t>
  </si>
  <si>
    <t>Project alpha (completed)</t>
  </si>
  <si>
    <t>Car Model (BMW)</t>
  </si>
  <si>
    <t>mail info@abc.com now</t>
  </si>
  <si>
    <t>send feedback to feedback@def.com</t>
  </si>
  <si>
    <t>hello@ghi.com is an email address</t>
  </si>
  <si>
    <t>Hi, this is my mai id dssc@gmail.com</t>
  </si>
  <si>
    <t>This is My mail id abc@gmail.com</t>
  </si>
  <si>
    <t>mail id- dff@gmail.com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</si>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</sst>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" fillId="0" borderId="0" xfId="1"/>
    <xf numFmtId="0" fontId="0" fillId="2" borderId="0" xfId="0" applyFill="1"/>
    <xf numFmtId="0" fontId="0" fillId="2" borderId="1" xfId="0" applyFill="1" applyBorder="1"/>
    <xf numFmtId="0" fontId="0" fillId="3" borderId="0" xfId="0" applyFill="1"/>
    <xf numFmtId="0" fontId="0" fillId="3" borderId="0" xfId="0" applyFill="1" applyAlignment="1">
      <alignment wrapText="1"/>
    </xf>
    <xf numFmtId="0" fontId="3" fillId="3" borderId="0" xfId="0" applyFont="1" applyFill="1"/>
    <xf numFmtId="0" fontId="2" fillId="3" borderId="0" xfId="0" applyFont="1" applyFill="1"/>
    <xf numFmtId="22" fontId="0" fillId="3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AF0D7-C3BF-49D0-9208-D71DA617FEB6}">
  <dimension ref="A1:F19"/>
  <sheetViews>
    <sheetView topLeftCell="E1" zoomScale="111" workbookViewId="0">
      <selection activeCell="G2" sqref="G2"/>
    </sheetView>
  </sheetViews>
  <sheetFormatPr defaultRowHeight="14.45"/>
  <cols>
    <col min="1" max="1" width="20.28515625" customWidth="1"/>
    <col min="2" max="2" width="16.28515625" customWidth="1"/>
    <col min="4" max="4" width="47.140625" customWidth="1"/>
    <col min="5" max="5" width="15.42578125" bestFit="1" customWidth="1"/>
    <col min="6" max="6" width="11.5703125" customWidth="1"/>
    <col min="7" max="7" width="28.5703125" customWidth="1"/>
    <col min="9" max="9" width="31" customWidth="1"/>
  </cols>
  <sheetData>
    <row r="1" spans="1:6">
      <c r="A1" t="s">
        <v>0</v>
      </c>
      <c r="B1" t="str">
        <f>MID(A1,7,6)</f>
        <v>Olivia</v>
      </c>
      <c r="E1" s="5" t="s">
        <v>1</v>
      </c>
      <c r="F1" s="5" t="str">
        <f>MID(E1,5,6)</f>
        <v>16</v>
      </c>
    </row>
    <row r="2" spans="1:6">
      <c r="E2" s="5" t="s">
        <v>2</v>
      </c>
      <c r="F2" s="5" t="str">
        <f>MID(E2,6,5)</f>
        <v>king</v>
      </c>
    </row>
    <row r="3" spans="1:6">
      <c r="A3" t="s">
        <v>3</v>
      </c>
      <c r="B3" t="str">
        <f>MID(A3,7,8)</f>
        <v>You Okay</v>
      </c>
      <c r="E3" s="5" t="s">
        <v>4</v>
      </c>
      <c r="F3" s="5" t="str">
        <f>MID(E3,1,3)</f>
        <v>see</v>
      </c>
    </row>
    <row r="4" spans="1:6" ht="15">
      <c r="E4" s="9" t="str">
        <f>MID(D6,25,10)</f>
        <v>08-05-2026</v>
      </c>
      <c r="F4" s="5" t="str">
        <f>MID(E4,7,4)</f>
        <v>2026</v>
      </c>
    </row>
    <row r="5" spans="1:6" ht="15">
      <c r="A5" t="s">
        <v>5</v>
      </c>
      <c r="E5" s="9" t="str">
        <f>MID(D7,25,10)</f>
        <v>08-05-2026</v>
      </c>
      <c r="F5" s="5" t="str">
        <f>MID(E5,4,2)</f>
        <v>05</v>
      </c>
    </row>
    <row r="6" spans="1:6" ht="15">
      <c r="B6" t="str">
        <f>MID(A5,13,7)</f>
        <v>Mickeal</v>
      </c>
      <c r="D6" s="1" t="s">
        <v>6</v>
      </c>
    </row>
    <row r="7" spans="1:6" ht="15">
      <c r="D7" s="1" t="s">
        <v>6</v>
      </c>
    </row>
    <row r="8" spans="1:6" ht="15">
      <c r="D8" s="1" t="s">
        <v>6</v>
      </c>
    </row>
    <row r="9" spans="1:6" ht="15">
      <c r="D9" s="1" t="s">
        <v>6</v>
      </c>
    </row>
    <row r="10" spans="1:6" ht="15">
      <c r="D10" s="1" t="s">
        <v>6</v>
      </c>
    </row>
    <row r="11" spans="1:6" ht="15">
      <c r="D11" s="1" t="s">
        <v>6</v>
      </c>
    </row>
    <row r="12" spans="1:6" ht="15">
      <c r="D12" s="1" t="s">
        <v>6</v>
      </c>
    </row>
    <row r="13" spans="1:6" ht="15">
      <c r="D13" s="1" t="s">
        <v>6</v>
      </c>
    </row>
    <row r="14" spans="1:6" ht="15">
      <c r="D14" s="1" t="s">
        <v>6</v>
      </c>
    </row>
    <row r="15" spans="1:6" ht="15">
      <c r="D15" s="1" t="s">
        <v>6</v>
      </c>
    </row>
    <row r="16" spans="1:6" ht="15">
      <c r="D16" s="1" t="s">
        <v>6</v>
      </c>
    </row>
    <row r="17" ht="15"/>
    <row r="18" ht="15"/>
    <row r="19" ht="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FB80E-7290-46AD-9272-E87F876A14FE}">
  <dimension ref="A1:E9"/>
  <sheetViews>
    <sheetView workbookViewId="0">
      <selection activeCell="D1" sqref="D1:E3"/>
    </sheetView>
  </sheetViews>
  <sheetFormatPr defaultRowHeight="14.45"/>
  <cols>
    <col min="1" max="1" width="9" bestFit="1" customWidth="1"/>
    <col min="2" max="2" width="5" bestFit="1" customWidth="1"/>
    <col min="3" max="3" width="15.28515625" customWidth="1"/>
    <col min="4" max="4" width="16" customWidth="1"/>
    <col min="5" max="5" width="33.7109375" customWidth="1"/>
  </cols>
  <sheetData>
    <row r="1" spans="1:5" ht="15">
      <c r="A1" t="s">
        <v>7</v>
      </c>
      <c r="B1" t="str">
        <f>LEFT(A1,FIND("-",A1)-1)</f>
        <v>ABC</v>
      </c>
      <c r="D1" s="7" t="s">
        <v>8</v>
      </c>
      <c r="E1" s="8" t="str">
        <f>LEFT(D1,FIND("-",D1)-1)</f>
        <v>MSD</v>
      </c>
    </row>
    <row r="2" spans="1:5" ht="15">
      <c r="A2" t="s">
        <v>9</v>
      </c>
      <c r="B2" t="str">
        <f t="shared" ref="B2:B3" si="0">LEFT(A2,FIND("-",A2)-1)</f>
        <v>DE</v>
      </c>
      <c r="D2" s="5" t="s">
        <v>10</v>
      </c>
      <c r="E2" s="5" t="str">
        <f>_xlfn.TEXTBEFORE(D2,";")</f>
        <v>IDBI</v>
      </c>
    </row>
    <row r="3" spans="1:5" ht="15">
      <c r="A3" t="s">
        <v>11</v>
      </c>
      <c r="B3" t="str">
        <f t="shared" si="0"/>
        <v>FGHI</v>
      </c>
      <c r="D3" s="5" t="s">
        <v>12</v>
      </c>
      <c r="E3" s="5" t="str">
        <f>LEFT(D3,FIND("/",D3)-1)</f>
        <v>DATA</v>
      </c>
    </row>
    <row r="4" spans="1:5" ht="15">
      <c r="D4" t="str">
        <f>LEFT(C9,5)</f>
        <v/>
      </c>
      <c r="E4" t="str">
        <f>RIGHT(C9,6)</f>
        <v/>
      </c>
    </row>
    <row r="5" spans="1:5" ht="15"/>
    <row r="6" spans="1:5" ht="15"/>
    <row r="7" spans="1:5" ht="15"/>
    <row r="8" spans="1:5" ht="15"/>
    <row r="9" spans="1:5" ht="1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BF06D-8F6C-4949-ACBC-12B49E8185A0}">
  <dimension ref="A1:F3"/>
  <sheetViews>
    <sheetView workbookViewId="0">
      <selection activeCell="B11" sqref="B11"/>
    </sheetView>
  </sheetViews>
  <sheetFormatPr defaultRowHeight="14.45"/>
  <cols>
    <col min="1" max="1" width="18.42578125" customWidth="1"/>
    <col min="5" max="5" width="9.42578125" bestFit="1" customWidth="1"/>
    <col min="6" max="6" width="31" bestFit="1" customWidth="1"/>
  </cols>
  <sheetData>
    <row r="1" spans="1:6">
      <c r="A1" t="s">
        <v>7</v>
      </c>
      <c r="B1" t="str">
        <f>RIGHT(A1,LEN(A1)-FIND("-",A1))</f>
        <v>12</v>
      </c>
      <c r="C1" t="str">
        <f>_xlfn.TEXTAFTER(A1,"-")</f>
        <v>12</v>
      </c>
      <c r="E1" s="5" t="s">
        <v>13</v>
      </c>
      <c r="F1" s="5" t="str">
        <f>RIGHT(E1,LEN(E1)-FIND("-",E1))</f>
        <v>27</v>
      </c>
    </row>
    <row r="2" spans="1:6">
      <c r="A2" t="s">
        <v>9</v>
      </c>
      <c r="B2" t="str">
        <f t="shared" ref="B2:B3" si="0">RIGHT(A2,LEN(A2)-FIND("-",A2))</f>
        <v>4</v>
      </c>
      <c r="C2" t="str">
        <f t="shared" ref="C2:C3" si="1">_xlfn.TEXTAFTER(A2,"-")</f>
        <v>4</v>
      </c>
      <c r="E2" s="5" t="s">
        <v>14</v>
      </c>
      <c r="F2" s="5" t="str">
        <f>_xlfn.TEXTAFTER(E2,"&amp;")</f>
        <v>31</v>
      </c>
    </row>
    <row r="3" spans="1:6">
      <c r="A3" t="s">
        <v>11</v>
      </c>
      <c r="B3" t="str">
        <f t="shared" si="0"/>
        <v>887</v>
      </c>
      <c r="C3" t="str">
        <f t="shared" si="1"/>
        <v>887</v>
      </c>
      <c r="E3" s="5" t="s">
        <v>15</v>
      </c>
      <c r="F3" s="5" t="str">
        <f>_xlfn.TEXTAFTER(E3,"/")</f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C3C9-DC52-4375-9911-B970799F7032}">
  <dimension ref="A1:C6"/>
  <sheetViews>
    <sheetView workbookViewId="0">
      <selection activeCell="B6" sqref="B6"/>
    </sheetView>
  </sheetViews>
  <sheetFormatPr defaultRowHeight="14.45"/>
  <cols>
    <col min="1" max="1" width="47.42578125" bestFit="1" customWidth="1"/>
    <col min="2" max="3" width="29.140625" bestFit="1" customWidth="1"/>
  </cols>
  <sheetData>
    <row r="1" spans="1:3">
      <c r="A1" t="s">
        <v>16</v>
      </c>
      <c r="B1" t="str">
        <f>MID(A1,FIND("(",A1)+1,FIND(")",A1)-FIND("(",A1)-1)</f>
        <v>3788788</v>
      </c>
      <c r="C1" t="str">
        <f>_xlfn.TEXTBEFORE(_xlfn.TEXTAFTER(A1,"("),")")</f>
        <v>3788788</v>
      </c>
    </row>
    <row r="2" spans="1:3">
      <c r="A2" t="s">
        <v>17</v>
      </c>
      <c r="B2" t="str">
        <f>MID(A2,FIND("(",A2)+1,FIND(")",A2)-FIND("(",A2)-1)</f>
        <v>10004445454554545454545401</v>
      </c>
      <c r="C2" t="str">
        <f t="shared" ref="C2:C3" si="0">_xlfn.TEXTBEFORE(_xlfn.TEXTAFTER(A2,"("),")")</f>
        <v>10004445454554545454545401</v>
      </c>
    </row>
    <row r="3" spans="1:3">
      <c r="A3" t="s">
        <v>18</v>
      </c>
      <c r="B3" t="str">
        <f t="shared" ref="B2:B3" si="1">MID(A3,FIND("(",A3)+1,FIND(")",A3)-FIND("(",A3)-1)</f>
        <v>9</v>
      </c>
      <c r="C3" t="str">
        <f t="shared" si="0"/>
        <v>9</v>
      </c>
    </row>
    <row r="5" spans="1:3" ht="30.75">
      <c r="A5" s="5" t="s">
        <v>19</v>
      </c>
      <c r="B5" s="6" t="str">
        <f>MID(A5,FIND("(",A5)+1,FIND(")",A5)-FIND("(",A5)-1)</f>
        <v>completed</v>
      </c>
    </row>
    <row r="6" spans="1:3">
      <c r="A6" s="5" t="s">
        <v>20</v>
      </c>
      <c r="B6" s="5" t="str">
        <f>_xlfn.TEXTBEFORE(_xlfn.TEXTAFTER(A6,"("),")")</f>
        <v>BMW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AFAC5-F264-4F48-938F-A067056DDFCE}">
  <dimension ref="A1:K16"/>
  <sheetViews>
    <sheetView tabSelected="1" zoomScaleNormal="100" workbookViewId="0">
      <selection activeCell="C8" sqref="C8"/>
    </sheetView>
  </sheetViews>
  <sheetFormatPr defaultRowHeight="14.45"/>
  <cols>
    <col min="1" max="1" width="31.85546875" customWidth="1"/>
    <col min="2" max="2" width="18.5703125" bestFit="1" customWidth="1"/>
    <col min="3" max="3" width="39.28515625" customWidth="1"/>
    <col min="4" max="4" width="23" customWidth="1"/>
  </cols>
  <sheetData>
    <row r="1" spans="1:11">
      <c r="A1" t="s">
        <v>21</v>
      </c>
      <c r="B1" t="str">
        <f>TRIM(MID(SUBSTITUTE(A1," ",REPT(" ",100)),MAX(1,FIND("@",SUBSTITUTE(A1," ",REPT(" ",100)))-50),100))</f>
        <v>info@abc.com</v>
      </c>
      <c r="C1" s="3" t="str">
        <f>SUBSTITUTE(A1," ",REPT(" ",100))</f>
        <v>mail                                                                                                    info@abc.com                                                                                                    now</v>
      </c>
      <c r="D1" s="3"/>
      <c r="E1" s="3"/>
      <c r="F1" s="3"/>
      <c r="G1" s="3"/>
      <c r="H1" s="3"/>
      <c r="I1" s="3"/>
      <c r="J1" s="3"/>
      <c r="K1" s="3"/>
    </row>
    <row r="2" spans="1:11">
      <c r="A2" s="4" t="s">
        <v>22</v>
      </c>
      <c r="B2" t="str">
        <f t="shared" ref="B2:B3" si="0">TRIM(MID(SUBSTITUTE(A2," ",REPT(" ",100)),MAX(1,FIND("@",SUBSTITUTE(A2," ",REPT(" ",100)))-50),100))</f>
        <v>feedback@def.com</v>
      </c>
      <c r="C2" t="str">
        <f>MID(C1,FIND("@",C1)-50,100)</f>
        <v xml:space="preserve">                                              info@abc.com                                          </v>
      </c>
      <c r="D2" t="str">
        <f>TRIM(C2)</f>
        <v>info@abc.com</v>
      </c>
    </row>
    <row r="3" spans="1:11">
      <c r="A3" s="4" t="s">
        <v>23</v>
      </c>
      <c r="B3" t="str">
        <f t="shared" si="0"/>
        <v>hello@ghi.com</v>
      </c>
    </row>
    <row r="4" spans="1:11">
      <c r="A4" s="4"/>
    </row>
    <row r="5" spans="1:11">
      <c r="A5" s="4"/>
    </row>
    <row r="6" spans="1:11">
      <c r="A6" s="4"/>
    </row>
    <row r="7" spans="1:11">
      <c r="A7" s="4" t="s">
        <v>24</v>
      </c>
    </row>
    <row r="8" spans="1:11">
      <c r="A8" s="4" t="s">
        <v>25</v>
      </c>
    </row>
    <row r="9" spans="1:11">
      <c r="A9" s="4" t="s">
        <v>26</v>
      </c>
      <c r="B9" s="2"/>
    </row>
    <row r="10" spans="1:11">
      <c r="A10" s="2"/>
    </row>
    <row r="13" spans="1:11">
      <c r="A13" s="2"/>
    </row>
    <row r="14" spans="1:11">
      <c r="A14" s="2"/>
    </row>
    <row r="16" spans="1:11">
      <c r="A1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excel-easy.com</dc:creator>
  <cp:keywords/>
  <dc:description/>
  <cp:lastModifiedBy/>
  <cp:revision/>
  <dcterms:created xsi:type="dcterms:W3CDTF">2019-03-26T14:21:07Z</dcterms:created>
  <dcterms:modified xsi:type="dcterms:W3CDTF">2026-05-09T04:24:32Z</dcterms:modified>
  <cp:category/>
  <cp:contentStatus/>
</cp:coreProperties>
</file>